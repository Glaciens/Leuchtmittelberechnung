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0" yWindow="300" windowWidth="13410" windowHeight="7755"/>
  </bookViews>
  <sheets>
    <sheet name="Berechnung" sheetId="1" r:id="rId1"/>
    <sheet name="Arbeitsplatz" sheetId="2" r:id="rId2"/>
    <sheet name="Lampen" sheetId="3" r:id="rId3"/>
    <sheet name="Leuchten" sheetId="5" r:id="rId4"/>
  </sheets>
  <calcPr calcId="145621"/>
</workbook>
</file>

<file path=xl/calcChain.xml><?xml version="1.0" encoding="utf-8"?>
<calcChain xmlns="http://schemas.openxmlformats.org/spreadsheetml/2006/main">
  <c r="B14" i="1" l="1"/>
  <c r="C20" i="1" s="1"/>
  <c r="B23" i="1" s="1"/>
  <c r="C8" i="1"/>
</calcChain>
</file>

<file path=xl/sharedStrings.xml><?xml version="1.0" encoding="utf-8"?>
<sst xmlns="http://schemas.openxmlformats.org/spreadsheetml/2006/main" count="231" uniqueCount="220">
  <si>
    <t>Verkehrszonen in Abstellräumen</t>
  </si>
  <si>
    <t>Lagerräume - für gleichartiges oder großteiliges Gut</t>
  </si>
  <si>
    <t>Lagerräume - mit Leseaufgabe</t>
  </si>
  <si>
    <t>Automatische Hochregallager - Gänge</t>
  </si>
  <si>
    <t>Automatische Hochregallager - Bedienungsstand</t>
  </si>
  <si>
    <t>Versand</t>
  </si>
  <si>
    <t>Pausenräume - Kantinen</t>
  </si>
  <si>
    <t>Pausenräume - Übrige Pausen- und Liegeräume</t>
  </si>
  <si>
    <t>Pausenräume - Räume für körperl. Ausgleichsübungen</t>
  </si>
  <si>
    <t>Pausenräume - Umkleideräume</t>
  </si>
  <si>
    <t>Sanitärräume - Waschräume</t>
  </si>
  <si>
    <t>Sanitärräume - Toilettenräume</t>
  </si>
  <si>
    <t>Haustechnische Anlagen - Maschinenräume</t>
  </si>
  <si>
    <t>Haustechnische Anlagen - Telefonvermittlung</t>
  </si>
  <si>
    <t>Verkehrswege in Gebäuden</t>
  </si>
  <si>
    <t>für Personen</t>
  </si>
  <si>
    <t>für Personen und Fahrzeuge</t>
  </si>
  <si>
    <t>Treppen, Fahrtreppen und geneigte Verkehrswege</t>
  </si>
  <si>
    <t>Verladerampen</t>
  </si>
  <si>
    <t>Büro- und büroähnliche Räume</t>
  </si>
  <si>
    <t>Büroräume</t>
  </si>
  <si>
    <t>Großraumbüros - hohe Reflexion</t>
  </si>
  <si>
    <t>Großraumbüros - mittlere Reflexion</t>
  </si>
  <si>
    <t>Technisches Zeichnen</t>
  </si>
  <si>
    <t>Sitzungs- und Besprechnungsräume</t>
  </si>
  <si>
    <t>Empfangsräume</t>
  </si>
  <si>
    <t>Räume mit Publikumsverkehr</t>
  </si>
  <si>
    <t>Räume für Datenverarbeitung</t>
  </si>
  <si>
    <t xml:space="preserve">Büroräume mit tageslichtorientierten Arbeitsplätzen </t>
  </si>
  <si>
    <t>Chemische Industrie</t>
  </si>
  <si>
    <t>Verfahrenstechn. Anlagen mit Fernbedienung</t>
  </si>
  <si>
    <t>Meßstände, Steuerbühnen und Warten</t>
  </si>
  <si>
    <t>Laboratorien, Konfektionierungen</t>
  </si>
  <si>
    <t>Arbeiten mit erhöhter Sehaufgabe</t>
  </si>
  <si>
    <t>Farbprüfung</t>
  </si>
  <si>
    <t>Zement-, Keramik- und Glasgewerbe</t>
  </si>
  <si>
    <t>Dekorarbeiten</t>
  </si>
  <si>
    <t>Feine Arbeiten</t>
  </si>
  <si>
    <t>Schleifen, Ätzen, Polieren von Glas, Formen feiner Teile</t>
  </si>
  <si>
    <t>Hütten-, Stahl- und Walz-, Großgießereien</t>
  </si>
  <si>
    <t>Produktionsanlagen ohne manuelle Eingriffe</t>
  </si>
  <si>
    <t>Produktionsanlagen mit gelegentlichen Eingriffen</t>
  </si>
  <si>
    <t>Ständig besetzte Arbeitsplätze in Produktionsanlagen</t>
  </si>
  <si>
    <t>Prüf- und Kontrollplätze</t>
  </si>
  <si>
    <t>Metallbe- und verarbeitung</t>
  </si>
  <si>
    <t>Freiform-Schmieden kleiner Teile</t>
  </si>
  <si>
    <t>Schweißen</t>
  </si>
  <si>
    <t>Arbeitsplätze mit Robotern</t>
  </si>
  <si>
    <t>Anreiß- und Kontrollplätze, Meßplätze</t>
  </si>
  <si>
    <t>Kaltwalzwerke</t>
  </si>
  <si>
    <t>Draht-, Rohrziehereien, Herstellung von Kaltbandprofilen</t>
  </si>
  <si>
    <t>Be- und Verarbeitung von Blechen</t>
  </si>
  <si>
    <t>Herstellung von Handwerkzeugen und Schneidwaren</t>
  </si>
  <si>
    <t>Montage - Grob</t>
  </si>
  <si>
    <t>Montage - Mittelfein</t>
  </si>
  <si>
    <t>Montage - Fein</t>
  </si>
  <si>
    <t>Gesenkschmieden</t>
  </si>
  <si>
    <t>Gießereien - Bühnen</t>
  </si>
  <si>
    <t>Gießereien - Sandaufbereitung</t>
  </si>
  <si>
    <t>Gießereien - Gußputzerei</t>
  </si>
  <si>
    <t>Gießereien - Gießhallen</t>
  </si>
  <si>
    <t>Gießereien - Ausleerstellen</t>
  </si>
  <si>
    <t>Gießereien - Maschinenformerei</t>
  </si>
  <si>
    <t>Gießereien - Handformerei</t>
  </si>
  <si>
    <t>Gießereien - Kernmacherei</t>
  </si>
  <si>
    <t>Gießereien - Modellbau</t>
  </si>
  <si>
    <t>Druckgießereien</t>
  </si>
  <si>
    <t>Oberflächenbehandlung - Galvanisieren</t>
  </si>
  <si>
    <t>Oberflächenbehandlung - Spachteln, Anstreichen, Lackieren</t>
  </si>
  <si>
    <t>Oberflächenbehandlung - Kontrollplätze</t>
  </si>
  <si>
    <t>Automobilbau - Karosserie-Rohbau</t>
  </si>
  <si>
    <t>Automobilbau - Karosserie-Oberflächenbearbeitung</t>
  </si>
  <si>
    <t>Automobilbau - Lackiererei-Spritz-Kabine</t>
  </si>
  <si>
    <t>Automobilbau - Lackiererei-Schleifplätze</t>
  </si>
  <si>
    <t>Automobilbau - Nacharbeit Lackiererei</t>
  </si>
  <si>
    <t>Automobilbau - Polsterei</t>
  </si>
  <si>
    <t>Automobilbau - Karosserie- und Wagenfertigmontage</t>
  </si>
  <si>
    <t>Automobilbau - Inspektion</t>
  </si>
  <si>
    <t>Kraftwerke</t>
  </si>
  <si>
    <t>Beschickungsanlagen</t>
  </si>
  <si>
    <t>Kesselhaus</t>
  </si>
  <si>
    <t>Druckausgleichsraum in Kernkraftwerken</t>
  </si>
  <si>
    <t>Maschinenhallen</t>
  </si>
  <si>
    <t>Nebenräume z.B. Pumpenräume, Kondensatorräume</t>
  </si>
  <si>
    <t>Schaltanlagen in Gebäuden</t>
  </si>
  <si>
    <t>Schaltwarten</t>
  </si>
  <si>
    <t xml:space="preserve">Instandhaltungsarbeiten an Turbine und Generator </t>
  </si>
  <si>
    <t>Elektrotechnische Industrie</t>
  </si>
  <si>
    <t>Montage feinster Teile, elektronischer Bauteile</t>
  </si>
  <si>
    <t>Schmuck- und Uhrenindustrie</t>
  </si>
  <si>
    <t>Herstellung von Schmuckwaren</t>
  </si>
  <si>
    <t>Bearbeitung von Edelsteinen</t>
  </si>
  <si>
    <t>Optiker- und Uhrmacherwerkstatt</t>
  </si>
  <si>
    <t>Holzbe- und Verarbeitung</t>
  </si>
  <si>
    <t>Dämpfgruben</t>
  </si>
  <si>
    <t>Sägegatter</t>
  </si>
  <si>
    <t>Modelltischlerei, Polieren, Lackieren</t>
  </si>
  <si>
    <t>Holzveredelung</t>
  </si>
  <si>
    <t>Fehlerkontrolle</t>
  </si>
  <si>
    <t>Papier- und Druck-, graphisches Gewerbe</t>
  </si>
  <si>
    <t>Arbeiten an Holländern, Kollergängen, Holzschleiferei</t>
  </si>
  <si>
    <t>Papier- und Wellpappenmaschinen, Kartonagenfabrikation</t>
  </si>
  <si>
    <t>Gewöhnliche Buchbinderarbeit, Tapetendruck</t>
  </si>
  <si>
    <t>Vergolden, Prägen, Arbeiten an Druckmaschinen</t>
  </si>
  <si>
    <t>Retusche, Lithographie, Hand und Maschinensatz</t>
  </si>
  <si>
    <t>Farbkontrolle bei Mehrfarbdruck</t>
  </si>
  <si>
    <t>Stahl- und Kupferstich</t>
  </si>
  <si>
    <t>Fotosatz, Reproduktion</t>
  </si>
  <si>
    <t>Montage, Kopie</t>
  </si>
  <si>
    <t>Lederindustrie</t>
  </si>
  <si>
    <t>Arbeit an Bottichen, Fässern, Gruben</t>
  </si>
  <si>
    <t>Schaben, Spalten, Schleifen, Walken der Häute</t>
  </si>
  <si>
    <t>Lederfärben (maschinell)</t>
  </si>
  <si>
    <t>Qualitätskontrolle - mittlere Ansprüche</t>
  </si>
  <si>
    <t>Qualitätskontrolle - hohe Ansprüche</t>
  </si>
  <si>
    <t>Qualitätskontrolle - sehr hohe Ansprüche</t>
  </si>
  <si>
    <t>Textilherstellung und -verarbeitung</t>
  </si>
  <si>
    <t>Arbeitsplätze und -zonen an Bädern, Ballen aufbrechen</t>
  </si>
  <si>
    <t>Färben</t>
  </si>
  <si>
    <t>Kammstechen, Repassieren, Nähen, Stoffdrucken</t>
  </si>
  <si>
    <t>Putzmacherei</t>
  </si>
  <si>
    <t>Putzen, Noppenausnähen</t>
  </si>
  <si>
    <t>Kunststopfen</t>
  </si>
  <si>
    <t>Warenprüfung, Farbprüfung</t>
  </si>
  <si>
    <t>Nahrungs- und Genußmittelindustrie</t>
  </si>
  <si>
    <t>Schneiden und Auslesen von Gemüse und Obst</t>
  </si>
  <si>
    <t>Farbkontrolle, Laborräume</t>
  </si>
  <si>
    <t>Groß- und Einzelhandel</t>
  </si>
  <si>
    <t>Verkaufsräume</t>
  </si>
  <si>
    <t>Kassenarbeitsplätze</t>
  </si>
  <si>
    <t>Entrosten und Anstreichen von Stahlbauteilen</t>
  </si>
  <si>
    <t>Vormontage von Heizungs- und Lüftungsanlagen</t>
  </si>
  <si>
    <t>Schlosserei und Klempnerei</t>
  </si>
  <si>
    <t>Kraftfahrzeugwerkstätten</t>
  </si>
  <si>
    <t>Bauschreinerei</t>
  </si>
  <si>
    <t>Reparaturwerkstätten für Maschinen und Apparate</t>
  </si>
  <si>
    <t>Radio- und Fernsehwerkstätten</t>
  </si>
  <si>
    <t>Dienstleistungsbetriebe</t>
  </si>
  <si>
    <t>Hotels und Gaststätten - Empfang</t>
  </si>
  <si>
    <t>Hotels und Gaststätten - Küche</t>
  </si>
  <si>
    <t>Hotels und Gaststätten - Speiseräume</t>
  </si>
  <si>
    <t>Hotels und Gaststätten - Sitzungsräume</t>
  </si>
  <si>
    <t>Hotels und Gaststätten - Selbstbedienungsgaststätten</t>
  </si>
  <si>
    <t>Wäscherei u. chem. Reinigung - Waschen</t>
  </si>
  <si>
    <t>Wäscherei u. chem. Reinigung - Maschinenbügeln</t>
  </si>
  <si>
    <t>Wäscherei u. chem. Reinigung - Handbügeln</t>
  </si>
  <si>
    <t>Wäscherei u. chem. Reinigung - Sortieren</t>
  </si>
  <si>
    <t>Wäscherei u. chem. Reinigung - Fleckentfernen, Kontrolle</t>
  </si>
  <si>
    <t>Haarpflege</t>
  </si>
  <si>
    <t>Kosmetik</t>
  </si>
  <si>
    <t>Kunststoffverarbeitung</t>
  </si>
  <si>
    <t>Spritzgießen</t>
  </si>
  <si>
    <t>Kunststoffblasen</t>
  </si>
  <si>
    <t>Kunststoffpressen</t>
  </si>
  <si>
    <t>Handwerk und Gewerbe</t>
  </si>
  <si>
    <t>Lagerräume - bei nicht gleichartigem Lagergut</t>
  </si>
  <si>
    <t>Sanitätsräume - Räume für erste Hilfe</t>
  </si>
  <si>
    <t>Haustechnische Anlagen - Energieversorgung</t>
  </si>
  <si>
    <t>Haustechnische Anlagen - Poststelle</t>
  </si>
  <si>
    <t>Autom. Fördereinrichtung oder Transportbänder</t>
  </si>
  <si>
    <t xml:space="preserve"> besetzte Arbeitsplätze in verfahrenstechnischen Anlagen</t>
  </si>
  <si>
    <t>Anlagen mit gelegentlichen manuellen Eingriffen</t>
  </si>
  <si>
    <t>Arbeitsplätze oder -zonen an Öfen, an Mischern für Rohstoffe</t>
  </si>
  <si>
    <t>Emaillieren, Walzen, Pressen, Formen einfacher Teile</t>
  </si>
  <si>
    <t xml:space="preserve">Meßstände, Steuerbühnen und Warten </t>
  </si>
  <si>
    <t>Grobe und mittlere Maschinenarbeiten</t>
  </si>
  <si>
    <t>Feine Maschinenarbeiten</t>
  </si>
  <si>
    <t>Werkzeug-, Lehren- und Vorrichtungsbau, Feinmechanik</t>
  </si>
  <si>
    <t>Montage von Telefonapparaten, kleinen Motoren</t>
  </si>
  <si>
    <t>Montage feiner Geräte, von Rundfunk und Fernsehapparaten</t>
  </si>
  <si>
    <t>Sattlerarbeiten, Steppen, Nähen, Polieren, Sortieren, Pressen</t>
  </si>
  <si>
    <t>Krempeln, Waschen, Bügeln, Arbeit am Reißwolf</t>
  </si>
  <si>
    <t>Schleifen optischer Gläser, Kristallglas und Gravieren</t>
  </si>
  <si>
    <t>auto. oder halbautomatisierte Bearbeitungsmaschinen</t>
  </si>
  <si>
    <t xml:space="preserve">Gießereien -  liegende begehbare Kanäle </t>
  </si>
  <si>
    <t>Gießereien - Arbeitsplätze am Kupolofen</t>
  </si>
  <si>
    <t>Kabel- und Leitungsherstellung, Lackieren von Spulen</t>
  </si>
  <si>
    <t>Arbeiten an der Hobelbank, Leimen</t>
  </si>
  <si>
    <t>Arbeiten an Holzbearbeitungsmaschinen, Drechseln</t>
  </si>
  <si>
    <t>Auswahl und Kontrolle von Furnierhölzern</t>
  </si>
  <si>
    <t>Zetteln, Schären, Aufbäumen, Spinnen, Zwirnen</t>
  </si>
  <si>
    <t>Arbeitsplätze und -zonen im Brauhaus, am Malzboden</t>
  </si>
  <si>
    <t>Verlesen und Waschen von Produkten; Mahlen, Mischen</t>
  </si>
  <si>
    <t>Arbeitsplätze und -zonen in Schlachtereien, Metzgereien</t>
  </si>
  <si>
    <t>Herstellung von Feinkost; Küchen; Herstellung von Zigarren</t>
  </si>
  <si>
    <t>Kontrolle von Gläsern und Produktkontrolle; Garnieren</t>
  </si>
  <si>
    <t>Raumgeometrie</t>
  </si>
  <si>
    <t>a</t>
  </si>
  <si>
    <t>b</t>
  </si>
  <si>
    <t>A</t>
  </si>
  <si>
    <t>h</t>
  </si>
  <si>
    <t>Reflexionsgrade</t>
  </si>
  <si>
    <t>Wände</t>
  </si>
  <si>
    <t>Boden</t>
  </si>
  <si>
    <t>Raumindex</t>
  </si>
  <si>
    <t>k</t>
  </si>
  <si>
    <t>Decke</t>
  </si>
  <si>
    <t>Ē</t>
  </si>
  <si>
    <t>Beleuchtungsstärke</t>
  </si>
  <si>
    <t>Planungsfaktor</t>
  </si>
  <si>
    <t>p</t>
  </si>
  <si>
    <t>Beleuchtungswirkungsgrad</t>
  </si>
  <si>
    <t>Leuchten-Anzahl</t>
  </si>
  <si>
    <t>n</t>
  </si>
  <si>
    <r>
      <rPr>
        <sz val="11"/>
        <color theme="1"/>
        <rFont val="Calibri"/>
        <family val="2"/>
      </rPr>
      <t>η</t>
    </r>
    <r>
      <rPr>
        <sz val="11"/>
        <color theme="1"/>
        <rFont val="Calibri"/>
        <family val="2"/>
        <scheme val="minor"/>
      </rPr>
      <t>B</t>
    </r>
  </si>
  <si>
    <t>ηLB</t>
  </si>
  <si>
    <t>ηR</t>
  </si>
  <si>
    <t>k (gerundet)</t>
  </si>
  <si>
    <t>φ (Leuchte)</t>
  </si>
  <si>
    <t>Lichtstrom</t>
  </si>
  <si>
    <t>φ (Gesamt)</t>
  </si>
  <si>
    <t>Lichtmenge [lm]</t>
  </si>
  <si>
    <t>Glühlampe</t>
  </si>
  <si>
    <t>NV-Halogen</t>
  </si>
  <si>
    <t>HV-Halogen</t>
  </si>
  <si>
    <t>ESL</t>
  </si>
  <si>
    <t>T8 L</t>
  </si>
  <si>
    <t>T5 L</t>
  </si>
  <si>
    <t>LED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</si>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</sst>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General\ &quot; m&quot;"/>
    <numFmt numFmtId="165" formatCode="General\ &quot;m²&quot;"/>
    <numFmt numFmtId="166" formatCode="General\ &quot;lm&quot;"/>
    <numFmt numFmtId="167" formatCode="@\ &quot;lm&quot;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CCCCCC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0" xfId="0" applyBorder="1"/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2" borderId="1" xfId="0" applyFill="1" applyBorder="1"/>
    <xf numFmtId="0" fontId="0" fillId="2" borderId="5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66" fontId="0" fillId="2" borderId="5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5" fontId="0" fillId="2" borderId="4" xfId="0" applyNumberFormat="1" applyFill="1" applyBorder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0" xfId="0" applyFill="1" applyBorder="1"/>
    <xf numFmtId="0" fontId="0" fillId="0" borderId="3" xfId="0" applyBorder="1"/>
    <xf numFmtId="0" fontId="0" fillId="0" borderId="8" xfId="0" applyBorder="1" applyAlignment="1"/>
    <xf numFmtId="0" fontId="0" fillId="0" borderId="8" xfId="0" applyBorder="1"/>
    <xf numFmtId="0" fontId="0" fillId="0" borderId="6" xfId="0" applyBorder="1"/>
    <xf numFmtId="0" fontId="0" fillId="0" borderId="9" xfId="0" applyBorder="1" applyAlignment="1"/>
    <xf numFmtId="0" fontId="0" fillId="0" borderId="3" xfId="0" applyFill="1" applyBorder="1"/>
    <xf numFmtId="0" fontId="0" fillId="0" borderId="8" xfId="0" applyFill="1" applyBorder="1" applyAlignment="1"/>
    <xf numFmtId="0" fontId="3" fillId="0" borderId="0" xfId="0" applyFont="1" applyBorder="1"/>
    <xf numFmtId="0" fontId="3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3" fillId="2" borderId="0" xfId="0" applyFont="1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3" fillId="2" borderId="0" xfId="0" applyFont="1" applyFill="1"/>
    <xf numFmtId="0" fontId="0" fillId="2" borderId="13" xfId="0" applyFill="1" applyBorder="1"/>
    <xf numFmtId="0" fontId="0" fillId="2" borderId="8" xfId="0" applyFill="1" applyBorder="1"/>
    <xf numFmtId="0" fontId="0" fillId="2" borderId="14" xfId="0" applyFill="1" applyBorder="1"/>
    <xf numFmtId="0" fontId="0" fillId="2" borderId="5" xfId="0" applyFill="1" applyBorder="1"/>
    <xf numFmtId="0" fontId="0" fillId="2" borderId="18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1" fillId="2" borderId="1" xfId="0" applyFont="1" applyFill="1" applyBorder="1"/>
    <xf numFmtId="166" fontId="0" fillId="2" borderId="5" xfId="0" applyNumberFormat="1" applyFill="1" applyBorder="1"/>
    <xf numFmtId="167" fontId="0" fillId="2" borderId="1" xfId="0" applyNumberFormat="1" applyFill="1" applyBorder="1"/>
    <xf numFmtId="0" fontId="0" fillId="3" borderId="19" xfId="0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104775</xdr:colOff>
      <xdr:row>10</xdr:row>
      <xdr:rowOff>90487</xdr:rowOff>
    </xdr:from>
    <xdr:ext cx="914400" cy="264560"/>
    <xdr:sp macro="" textlink="">
      <xdr:nvSpPr>
        <xdr:cNvPr id="2" name="Textfeld 1"/>
        <xdr:cNvSpPr txBox="1"/>
      </xdr:nvSpPr>
      <xdr:spPr>
        <a:xfrm>
          <a:off x="5953125" y="2052637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lang="de-DE" sz="1100"/>
        </a:p>
      </xdr:txBody>
    </xdr:sp>
    <xdr:clientData/>
  </xdr:oneCellAnchor>
  <xdr:twoCellAnchor>
    <xdr:from>
      <xdr:col>5</xdr:col>
      <xdr:colOff>66676</xdr:colOff>
      <xdr:row>8</xdr:row>
      <xdr:rowOff>47625</xdr:rowOff>
    </xdr:from>
    <xdr:to>
      <xdr:col>11</xdr:col>
      <xdr:colOff>409576</xdr:colOff>
      <xdr:row>12</xdr:row>
      <xdr:rowOff>114300</xdr:rowOff>
    </xdr:to>
    <xdr:sp macro="" textlink="">
      <xdr:nvSpPr>
        <xdr:cNvPr id="3" name="Abgerundetes Rechteck 2"/>
        <xdr:cNvSpPr/>
      </xdr:nvSpPr>
      <xdr:spPr>
        <a:xfrm>
          <a:off x="4876801" y="1628775"/>
          <a:ext cx="4914900" cy="84772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276225</xdr:colOff>
      <xdr:row>9</xdr:row>
      <xdr:rowOff>76200</xdr:rowOff>
    </xdr:from>
    <xdr:to>
      <xdr:col>6</xdr:col>
      <xdr:colOff>685800</xdr:colOff>
      <xdr:row>11</xdr:row>
      <xdr:rowOff>133350</xdr:rowOff>
    </xdr:to>
    <xdr:sp macro="[0]!Modul2.Arbeitsplatz" textlink="">
      <xdr:nvSpPr>
        <xdr:cNvPr id="4" name="Abgerundetes Rechteck 3"/>
        <xdr:cNvSpPr/>
      </xdr:nvSpPr>
      <xdr:spPr>
        <a:xfrm>
          <a:off x="5086350" y="1847850"/>
          <a:ext cx="1171575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Arbeitsplatz</a:t>
          </a:r>
        </a:p>
      </xdr:txBody>
    </xdr:sp>
    <xdr:clientData/>
  </xdr:twoCellAnchor>
  <xdr:twoCellAnchor>
    <xdr:from>
      <xdr:col>7</xdr:col>
      <xdr:colOff>409575</xdr:colOff>
      <xdr:row>9</xdr:row>
      <xdr:rowOff>57150</xdr:rowOff>
    </xdr:from>
    <xdr:to>
      <xdr:col>9</xdr:col>
      <xdr:colOff>57150</xdr:colOff>
      <xdr:row>11</xdr:row>
      <xdr:rowOff>114300</xdr:rowOff>
    </xdr:to>
    <xdr:sp macro="[0]!Lampen" textlink="">
      <xdr:nvSpPr>
        <xdr:cNvPr id="6" name="Abgerundetes Rechteck 5"/>
        <xdr:cNvSpPr/>
      </xdr:nvSpPr>
      <xdr:spPr>
        <a:xfrm>
          <a:off x="6743700" y="1828800"/>
          <a:ext cx="1171575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Lampen</a:t>
          </a:r>
        </a:p>
      </xdr:txBody>
    </xdr:sp>
    <xdr:clientData/>
  </xdr:twoCellAnchor>
  <xdr:twoCellAnchor>
    <xdr:from>
      <xdr:col>9</xdr:col>
      <xdr:colOff>504825</xdr:colOff>
      <xdr:row>9</xdr:row>
      <xdr:rowOff>57150</xdr:rowOff>
    </xdr:from>
    <xdr:to>
      <xdr:col>11</xdr:col>
      <xdr:colOff>152400</xdr:colOff>
      <xdr:row>11</xdr:row>
      <xdr:rowOff>114300</xdr:rowOff>
    </xdr:to>
    <xdr:sp macro="[0]!Leuchten" textlink="">
      <xdr:nvSpPr>
        <xdr:cNvPr id="7" name="Abgerundetes Rechteck 6"/>
        <xdr:cNvSpPr/>
      </xdr:nvSpPr>
      <xdr:spPr>
        <a:xfrm>
          <a:off x="8362950" y="1828800"/>
          <a:ext cx="1171575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Leuchten</a:t>
          </a:r>
        </a:p>
      </xdr:txBody>
    </xdr:sp>
    <xdr:clientData/>
  </xdr:twoCellAnchor>
  <xdr:twoCellAnchor>
    <xdr:from>
      <xdr:col>7</xdr:col>
      <xdr:colOff>552450</xdr:colOff>
      <xdr:row>14</xdr:row>
      <xdr:rowOff>57150</xdr:rowOff>
    </xdr:from>
    <xdr:to>
      <xdr:col>8</xdr:col>
      <xdr:colOff>685800</xdr:colOff>
      <xdr:row>15</xdr:row>
      <xdr:rowOff>85725</xdr:rowOff>
    </xdr:to>
    <xdr:sp macro="" textlink="">
      <xdr:nvSpPr>
        <xdr:cNvPr id="9" name="Textfeld 8"/>
        <xdr:cNvSpPr txBox="1"/>
      </xdr:nvSpPr>
      <xdr:spPr>
        <a:xfrm>
          <a:off x="6886575" y="2819400"/>
          <a:ext cx="89535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Lampen</a:t>
          </a:r>
        </a:p>
      </xdr:txBody>
    </xdr:sp>
    <xdr:clientData/>
  </xdr:twoCellAnchor>
  <xdr:twoCellAnchor>
    <xdr:from>
      <xdr:col>6</xdr:col>
      <xdr:colOff>733425</xdr:colOff>
      <xdr:row>14</xdr:row>
      <xdr:rowOff>9525</xdr:rowOff>
    </xdr:from>
    <xdr:to>
      <xdr:col>9</xdr:col>
      <xdr:colOff>390525</xdr:colOff>
      <xdr:row>16</xdr:row>
      <xdr:rowOff>161925</xdr:rowOff>
    </xdr:to>
    <xdr:sp macro="[0]!Leeren" textlink="">
      <xdr:nvSpPr>
        <xdr:cNvPr id="5" name="Abgerundetes Rechteck 4"/>
        <xdr:cNvSpPr/>
      </xdr:nvSpPr>
      <xdr:spPr>
        <a:xfrm>
          <a:off x="6305550" y="2771775"/>
          <a:ext cx="1943100" cy="54292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/>
            <a:t>Zellen leeren</a:t>
          </a:r>
        </a:p>
      </xdr:txBody>
    </xdr:sp>
    <xdr:clientData/>
  </xdr:twoCellAnchor>
  <xdr:twoCellAnchor>
    <xdr:from>
      <xdr:col>6</xdr:col>
      <xdr:colOff>714375</xdr:colOff>
      <xdr:row>3</xdr:row>
      <xdr:rowOff>171450</xdr:rowOff>
    </xdr:from>
    <xdr:to>
      <xdr:col>9</xdr:col>
      <xdr:colOff>371475</xdr:colOff>
      <xdr:row>6</xdr:row>
      <xdr:rowOff>123825</xdr:rowOff>
    </xdr:to>
    <xdr:sp macro="[0]!Start" textlink="">
      <xdr:nvSpPr>
        <xdr:cNvPr id="10" name="Abgerundetes Rechteck 9"/>
        <xdr:cNvSpPr/>
      </xdr:nvSpPr>
      <xdr:spPr>
        <a:xfrm>
          <a:off x="6286500" y="762000"/>
          <a:ext cx="1943100" cy="54292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/>
            <a:t>START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18</xdr:row>
          <xdr:rowOff>47625</xdr:rowOff>
        </xdr:from>
        <xdr:to>
          <xdr:col>10</xdr:col>
          <xdr:colOff>371475</xdr:colOff>
          <xdr:row>20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2266950</xdr:colOff>
      <xdr:row>20</xdr:row>
      <xdr:rowOff>47625</xdr:rowOff>
    </xdr:from>
    <xdr:to>
      <xdr:col>3</xdr:col>
      <xdr:colOff>133350</xdr:colOff>
      <xdr:row>24</xdr:row>
      <xdr:rowOff>133350</xdr:rowOff>
    </xdr:to>
    <xdr:sp macro="" textlink="">
      <xdr:nvSpPr>
        <xdr:cNvPr id="2" name="Abgerundetes Rechteck 1"/>
        <xdr:cNvSpPr/>
      </xdr:nvSpPr>
      <xdr:spPr>
        <a:xfrm>
          <a:off x="2266950" y="4114800"/>
          <a:ext cx="4914900" cy="84772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2428874</xdr:colOff>
      <xdr:row>21</xdr:row>
      <xdr:rowOff>66675</xdr:rowOff>
    </xdr:from>
    <xdr:to>
      <xdr:col>1</xdr:col>
      <xdr:colOff>257174</xdr:colOff>
      <xdr:row>23</xdr:row>
      <xdr:rowOff>142875</xdr:rowOff>
    </xdr:to>
    <xdr:sp macro="[0]!Modul2.Berechnung" textlink="">
      <xdr:nvSpPr>
        <xdr:cNvPr id="4" name="Abgerundetes Rechteck 3"/>
        <xdr:cNvSpPr/>
      </xdr:nvSpPr>
      <xdr:spPr>
        <a:xfrm>
          <a:off x="2428874" y="4324350"/>
          <a:ext cx="1171575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Berechnung</a:t>
          </a:r>
        </a:p>
      </xdr:txBody>
    </xdr:sp>
    <xdr:clientData/>
  </xdr:twoCellAnchor>
  <xdr:twoCellAnchor>
    <xdr:from>
      <xdr:col>2</xdr:col>
      <xdr:colOff>266699</xdr:colOff>
      <xdr:row>21</xdr:row>
      <xdr:rowOff>66675</xdr:rowOff>
    </xdr:from>
    <xdr:to>
      <xdr:col>2</xdr:col>
      <xdr:colOff>1438274</xdr:colOff>
      <xdr:row>23</xdr:row>
      <xdr:rowOff>142875</xdr:rowOff>
    </xdr:to>
    <xdr:sp macro="[0]!Lampen" textlink="">
      <xdr:nvSpPr>
        <xdr:cNvPr id="5" name="Abgerundetes Rechteck 4"/>
        <xdr:cNvSpPr/>
      </xdr:nvSpPr>
      <xdr:spPr>
        <a:xfrm>
          <a:off x="4048124" y="4324350"/>
          <a:ext cx="1171575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Lampen</a:t>
          </a:r>
        </a:p>
      </xdr:txBody>
    </xdr:sp>
    <xdr:clientData/>
  </xdr:twoCellAnchor>
  <xdr:twoCellAnchor>
    <xdr:from>
      <xdr:col>2</xdr:col>
      <xdr:colOff>1876424</xdr:colOff>
      <xdr:row>21</xdr:row>
      <xdr:rowOff>66675</xdr:rowOff>
    </xdr:from>
    <xdr:to>
      <xdr:col>2</xdr:col>
      <xdr:colOff>3047999</xdr:colOff>
      <xdr:row>23</xdr:row>
      <xdr:rowOff>142875</xdr:rowOff>
    </xdr:to>
    <xdr:sp macro="[0]!Leuchten" textlink="">
      <xdr:nvSpPr>
        <xdr:cNvPr id="8" name="Abgerundetes Rechteck 7"/>
        <xdr:cNvSpPr/>
      </xdr:nvSpPr>
      <xdr:spPr>
        <a:xfrm>
          <a:off x="5657849" y="4324350"/>
          <a:ext cx="1171575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Leuchten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11</xdr:row>
      <xdr:rowOff>114300</xdr:rowOff>
    </xdr:from>
    <xdr:to>
      <xdr:col>9</xdr:col>
      <xdr:colOff>257175</xdr:colOff>
      <xdr:row>16</xdr:row>
      <xdr:rowOff>9525</xdr:rowOff>
    </xdr:to>
    <xdr:sp macro="" textlink="">
      <xdr:nvSpPr>
        <xdr:cNvPr id="6" name="Abgerundetes Rechteck 5"/>
        <xdr:cNvSpPr/>
      </xdr:nvSpPr>
      <xdr:spPr>
        <a:xfrm>
          <a:off x="1828800" y="2400300"/>
          <a:ext cx="4400550" cy="84772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</xdr:col>
      <xdr:colOff>466724</xdr:colOff>
      <xdr:row>12</xdr:row>
      <xdr:rowOff>123825</xdr:rowOff>
    </xdr:from>
    <xdr:to>
      <xdr:col>4</xdr:col>
      <xdr:colOff>152399</xdr:colOff>
      <xdr:row>15</xdr:row>
      <xdr:rowOff>9525</xdr:rowOff>
    </xdr:to>
    <xdr:sp macro="[0]!Modul2.Berechnung" textlink="">
      <xdr:nvSpPr>
        <xdr:cNvPr id="8" name="Abgerundetes Rechteck 7"/>
        <xdr:cNvSpPr/>
      </xdr:nvSpPr>
      <xdr:spPr>
        <a:xfrm>
          <a:off x="2038349" y="2600325"/>
          <a:ext cx="1000125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Berechnung</a:t>
          </a:r>
        </a:p>
      </xdr:txBody>
    </xdr:sp>
    <xdr:clientData/>
  </xdr:twoCellAnchor>
  <xdr:twoCellAnchor>
    <xdr:from>
      <xdr:col>5</xdr:col>
      <xdr:colOff>47624</xdr:colOff>
      <xdr:row>12</xdr:row>
      <xdr:rowOff>123825</xdr:rowOff>
    </xdr:from>
    <xdr:to>
      <xdr:col>6</xdr:col>
      <xdr:colOff>304799</xdr:colOff>
      <xdr:row>15</xdr:row>
      <xdr:rowOff>9525</xdr:rowOff>
    </xdr:to>
    <xdr:sp macro="[0]!Modul2.Arbeitsplatz" textlink="">
      <xdr:nvSpPr>
        <xdr:cNvPr id="9" name="Abgerundetes Rechteck 8"/>
        <xdr:cNvSpPr/>
      </xdr:nvSpPr>
      <xdr:spPr>
        <a:xfrm>
          <a:off x="3486149" y="2600325"/>
          <a:ext cx="1000125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Arbeitsplatz</a:t>
          </a:r>
        </a:p>
      </xdr:txBody>
    </xdr:sp>
    <xdr:clientData/>
  </xdr:twoCellAnchor>
  <xdr:twoCellAnchor>
    <xdr:from>
      <xdr:col>7</xdr:col>
      <xdr:colOff>238124</xdr:colOff>
      <xdr:row>12</xdr:row>
      <xdr:rowOff>114300</xdr:rowOff>
    </xdr:from>
    <xdr:to>
      <xdr:col>8</xdr:col>
      <xdr:colOff>485774</xdr:colOff>
      <xdr:row>15</xdr:row>
      <xdr:rowOff>0</xdr:rowOff>
    </xdr:to>
    <xdr:sp macro="[0]!Leuchten" textlink="">
      <xdr:nvSpPr>
        <xdr:cNvPr id="10" name="Abgerundetes Rechteck 9"/>
        <xdr:cNvSpPr/>
      </xdr:nvSpPr>
      <xdr:spPr>
        <a:xfrm>
          <a:off x="4943474" y="2590800"/>
          <a:ext cx="1009650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Leuchten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10</xdr:row>
      <xdr:rowOff>114300</xdr:rowOff>
    </xdr:from>
    <xdr:to>
      <xdr:col>8</xdr:col>
      <xdr:colOff>714375</xdr:colOff>
      <xdr:row>15</xdr:row>
      <xdr:rowOff>9525</xdr:rowOff>
    </xdr:to>
    <xdr:sp macro="" textlink="">
      <xdr:nvSpPr>
        <xdr:cNvPr id="2" name="Abgerundetes Rechteck 1"/>
        <xdr:cNvSpPr/>
      </xdr:nvSpPr>
      <xdr:spPr>
        <a:xfrm>
          <a:off x="1895475" y="2038350"/>
          <a:ext cx="4914900" cy="84772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</xdr:col>
      <xdr:colOff>581024</xdr:colOff>
      <xdr:row>11</xdr:row>
      <xdr:rowOff>142875</xdr:rowOff>
    </xdr:from>
    <xdr:to>
      <xdr:col>4</xdr:col>
      <xdr:colOff>228599</xdr:colOff>
      <xdr:row>14</xdr:row>
      <xdr:rowOff>28575</xdr:rowOff>
    </xdr:to>
    <xdr:sp macro="[0]!Modul2.Berechnung" textlink="">
      <xdr:nvSpPr>
        <xdr:cNvPr id="3" name="Abgerundetes Rechteck 2"/>
        <xdr:cNvSpPr/>
      </xdr:nvSpPr>
      <xdr:spPr>
        <a:xfrm>
          <a:off x="2105024" y="2257425"/>
          <a:ext cx="1171575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Berechnung</a:t>
          </a:r>
        </a:p>
      </xdr:txBody>
    </xdr:sp>
    <xdr:clientData/>
  </xdr:twoCellAnchor>
  <xdr:twoCellAnchor>
    <xdr:from>
      <xdr:col>4</xdr:col>
      <xdr:colOff>714374</xdr:colOff>
      <xdr:row>11</xdr:row>
      <xdr:rowOff>123825</xdr:rowOff>
    </xdr:from>
    <xdr:to>
      <xdr:col>6</xdr:col>
      <xdr:colOff>361949</xdr:colOff>
      <xdr:row>14</xdr:row>
      <xdr:rowOff>9525</xdr:rowOff>
    </xdr:to>
    <xdr:sp macro="[0]!Modul2.Arbeitsplatz" textlink="">
      <xdr:nvSpPr>
        <xdr:cNvPr id="4" name="Abgerundetes Rechteck 3"/>
        <xdr:cNvSpPr/>
      </xdr:nvSpPr>
      <xdr:spPr>
        <a:xfrm>
          <a:off x="3762374" y="2238375"/>
          <a:ext cx="1171575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Arbeitsplatz</a:t>
          </a:r>
        </a:p>
      </xdr:txBody>
    </xdr:sp>
    <xdr:clientData/>
  </xdr:twoCellAnchor>
  <xdr:twoCellAnchor>
    <xdr:from>
      <xdr:col>7</xdr:col>
      <xdr:colOff>47624</xdr:colOff>
      <xdr:row>11</xdr:row>
      <xdr:rowOff>123825</xdr:rowOff>
    </xdr:from>
    <xdr:to>
      <xdr:col>8</xdr:col>
      <xdr:colOff>457199</xdr:colOff>
      <xdr:row>14</xdr:row>
      <xdr:rowOff>9525</xdr:rowOff>
    </xdr:to>
    <xdr:sp macro="[0]!Lampen" textlink="">
      <xdr:nvSpPr>
        <xdr:cNvPr id="5" name="Abgerundetes Rechteck 4"/>
        <xdr:cNvSpPr/>
      </xdr:nvSpPr>
      <xdr:spPr>
        <a:xfrm>
          <a:off x="5381624" y="2238375"/>
          <a:ext cx="1171575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Lampen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E23"/>
  <sheetViews>
    <sheetView tabSelected="1" workbookViewId="0">
      <selection activeCell="E4" sqref="E4"/>
    </sheetView>
  </sheetViews>
  <sheetFormatPr baseColWidth="10" defaultRowHeight="15" x14ac:dyDescent="0.25"/>
  <cols>
    <col min="1" max="1" width="26.42578125" bestFit="1" customWidth="1"/>
  </cols>
  <sheetData>
    <row r="1" spans="1:5" ht="15.75" thickBot="1" x14ac:dyDescent="0.3">
      <c r="B1" s="6" t="s">
        <v>187</v>
      </c>
      <c r="C1" s="6" t="s">
        <v>188</v>
      </c>
      <c r="D1" s="6" t="s">
        <v>189</v>
      </c>
      <c r="E1" s="6" t="s">
        <v>190</v>
      </c>
    </row>
    <row r="2" spans="1:5" ht="15.75" thickBot="1" x14ac:dyDescent="0.3">
      <c r="A2" s="8" t="s">
        <v>186</v>
      </c>
      <c r="B2" s="14"/>
      <c r="C2" s="14"/>
      <c r="D2" s="13"/>
      <c r="E2" s="12"/>
    </row>
    <row r="4" spans="1:5" ht="15.75" thickBot="1" x14ac:dyDescent="0.3">
      <c r="B4" s="6" t="s">
        <v>196</v>
      </c>
      <c r="C4" s="6" t="s">
        <v>192</v>
      </c>
      <c r="D4" s="6" t="s">
        <v>193</v>
      </c>
    </row>
    <row r="5" spans="1:5" ht="15.75" thickBot="1" x14ac:dyDescent="0.3">
      <c r="A5" s="8" t="s">
        <v>191</v>
      </c>
      <c r="B5" s="10"/>
      <c r="C5" s="10"/>
      <c r="D5" s="9"/>
    </row>
    <row r="7" spans="1:5" ht="15.75" thickBot="1" x14ac:dyDescent="0.3">
      <c r="B7" s="6" t="s">
        <v>195</v>
      </c>
      <c r="C7" s="15" t="s">
        <v>207</v>
      </c>
    </row>
    <row r="8" spans="1:5" ht="15.75" thickBot="1" x14ac:dyDescent="0.3">
      <c r="A8" s="8" t="s">
        <v>194</v>
      </c>
      <c r="B8" s="41"/>
      <c r="C8" s="40">
        <f>IF(B8&lt;=0.6,0.6,IF(B8&lt;=1,1,IF(B8&lt;=1.5,1.5,IF(B8&lt;=2,2,IF(B8&lt;=3,3,5)))))</f>
        <v>0.6</v>
      </c>
    </row>
    <row r="9" spans="1:5" x14ac:dyDescent="0.25">
      <c r="B9" s="1"/>
    </row>
    <row r="10" spans="1:5" ht="15.75" thickBot="1" x14ac:dyDescent="0.3">
      <c r="B10" s="7" t="s">
        <v>197</v>
      </c>
    </row>
    <row r="11" spans="1:5" ht="15.75" thickBot="1" x14ac:dyDescent="0.3">
      <c r="A11" s="8" t="s">
        <v>198</v>
      </c>
      <c r="B11" s="11"/>
      <c r="C11" s="17"/>
    </row>
    <row r="13" spans="1:5" ht="15.75" thickBot="1" x14ac:dyDescent="0.3">
      <c r="B13" s="15" t="s">
        <v>204</v>
      </c>
      <c r="C13" s="15" t="s">
        <v>205</v>
      </c>
      <c r="D13" s="15" t="s">
        <v>206</v>
      </c>
    </row>
    <row r="14" spans="1:5" ht="15.75" thickBot="1" x14ac:dyDescent="0.3">
      <c r="A14" s="8" t="s">
        <v>201</v>
      </c>
      <c r="B14" s="10">
        <f>C14*D14</f>
        <v>0</v>
      </c>
      <c r="C14" s="10"/>
      <c r="D14" s="16"/>
    </row>
    <row r="16" spans="1:5" ht="15.75" thickBot="1" x14ac:dyDescent="0.3">
      <c r="B16" s="15" t="s">
        <v>200</v>
      </c>
      <c r="C16" s="17"/>
    </row>
    <row r="17" spans="1:3" ht="15.75" thickBot="1" x14ac:dyDescent="0.3">
      <c r="A17" s="8" t="s">
        <v>199</v>
      </c>
      <c r="B17" s="9"/>
      <c r="C17" s="17"/>
    </row>
    <row r="18" spans="1:3" x14ac:dyDescent="0.25">
      <c r="A18" s="17"/>
      <c r="B18" s="42"/>
      <c r="C18" s="17"/>
    </row>
    <row r="19" spans="1:3" ht="15.75" thickBot="1" x14ac:dyDescent="0.3">
      <c r="A19" s="17"/>
      <c r="B19" s="43" t="s">
        <v>208</v>
      </c>
      <c r="C19" s="43" t="s">
        <v>210</v>
      </c>
    </row>
    <row r="20" spans="1:3" ht="15.75" thickBot="1" x14ac:dyDescent="0.3">
      <c r="A20" s="44" t="s">
        <v>209</v>
      </c>
      <c r="B20" s="46" t="s">
        <v>219</v>
      </c>
      <c r="C20" s="45" t="e">
        <f>(B11*D2*B17)/B14</f>
        <v>#DIV/0!</v>
      </c>
    </row>
    <row r="22" spans="1:3" ht="15.75" thickBot="1" x14ac:dyDescent="0.3">
      <c r="B22" s="6" t="s">
        <v>203</v>
      </c>
    </row>
    <row r="23" spans="1:3" ht="15.75" thickBot="1" x14ac:dyDescent="0.3">
      <c r="A23" s="8" t="s">
        <v>202</v>
      </c>
      <c r="B23" s="9">
        <f>IF(ISNUMBER(C20),ROUND(C20/B20,0),0)</f>
        <v>0</v>
      </c>
    </row>
  </sheetData>
  <pageMargins left="0.7" right="0.7" top="0.78740157499999996" bottom="0.78740157499999996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123825</xdr:colOff>
                <xdr:row>18</xdr:row>
                <xdr:rowOff>47625</xdr:rowOff>
              </from>
              <to>
                <xdr:col>10</xdr:col>
                <xdr:colOff>371475</xdr:colOff>
                <xdr:row>20</xdr:row>
                <xdr:rowOff>57150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L40"/>
  <sheetViews>
    <sheetView zoomScaleNormal="100" workbookViewId="0">
      <selection activeCell="B5" sqref="B5"/>
    </sheetView>
  </sheetViews>
  <sheetFormatPr baseColWidth="10" defaultRowHeight="15" x14ac:dyDescent="0.25"/>
  <cols>
    <col min="1" max="1" width="50.140625" customWidth="1"/>
    <col min="2" max="2" width="6.5703125" customWidth="1"/>
    <col min="3" max="3" width="49" customWidth="1"/>
    <col min="4" max="4" width="6.42578125" customWidth="1"/>
    <col min="5" max="5" width="49" bestFit="1" customWidth="1"/>
    <col min="6" max="6" width="5.42578125" customWidth="1"/>
    <col min="7" max="7" width="61.7109375" bestFit="1" customWidth="1"/>
    <col min="8" max="8" width="5.28515625" customWidth="1"/>
    <col min="9" max="9" width="62.7109375" bestFit="1" customWidth="1"/>
    <col min="10" max="10" width="6.42578125" customWidth="1"/>
    <col min="11" max="11" width="50.28515625" bestFit="1" customWidth="1"/>
    <col min="12" max="12" width="6.7109375" customWidth="1"/>
    <col min="13" max="13" width="63.85546875" customWidth="1"/>
    <col min="14" max="14" width="6.28515625" customWidth="1"/>
    <col min="15" max="15" width="48.85546875" bestFit="1" customWidth="1"/>
    <col min="16" max="16" width="6.42578125" customWidth="1"/>
    <col min="17" max="17" width="71.7109375" customWidth="1"/>
    <col min="18" max="18" width="6.140625" customWidth="1"/>
    <col min="19" max="19" width="35.28515625" bestFit="1" customWidth="1"/>
    <col min="20" max="20" width="6.85546875" customWidth="1"/>
    <col min="21" max="21" width="47.85546875" bestFit="1" customWidth="1"/>
    <col min="22" max="22" width="9.7109375" customWidth="1"/>
    <col min="23" max="23" width="54.140625" bestFit="1" customWidth="1"/>
    <col min="24" max="24" width="6.7109375" customWidth="1"/>
    <col min="25" max="25" width="56.28515625" customWidth="1"/>
    <col min="26" max="26" width="7.85546875" customWidth="1"/>
    <col min="27" max="27" width="67.140625" customWidth="1"/>
    <col min="28" max="28" width="8.85546875" customWidth="1"/>
    <col min="29" max="29" width="68.140625" customWidth="1"/>
    <col min="30" max="30" width="6.7109375" customWidth="1"/>
    <col min="31" max="31" width="28.140625" bestFit="1" customWidth="1"/>
    <col min="32" max="32" width="8.28515625" customWidth="1"/>
    <col min="33" max="33" width="46.7109375" bestFit="1" customWidth="1"/>
    <col min="34" max="34" width="6.85546875" customWidth="1"/>
    <col min="35" max="35" width="53.140625" bestFit="1" customWidth="1"/>
    <col min="36" max="36" width="7.5703125" customWidth="1"/>
    <col min="37" max="37" width="28.140625" bestFit="1" customWidth="1"/>
  </cols>
  <sheetData>
    <row r="1" spans="1:38" s="2" customFormat="1" ht="35.25" customHeight="1" x14ac:dyDescent="0.25">
      <c r="A1" s="2" t="s">
        <v>0</v>
      </c>
      <c r="C1" s="2" t="s">
        <v>14</v>
      </c>
      <c r="E1" s="2" t="s">
        <v>19</v>
      </c>
      <c r="F1"/>
      <c r="G1" s="2" t="s">
        <v>29</v>
      </c>
      <c r="I1" s="2" t="s">
        <v>35</v>
      </c>
      <c r="K1" s="2" t="s">
        <v>39</v>
      </c>
      <c r="M1" s="2" t="s">
        <v>44</v>
      </c>
      <c r="O1" s="2" t="s">
        <v>78</v>
      </c>
      <c r="Q1" s="2" t="s">
        <v>87</v>
      </c>
      <c r="S1" s="2" t="s">
        <v>89</v>
      </c>
      <c r="U1" s="2" t="s">
        <v>93</v>
      </c>
      <c r="W1" s="2" t="s">
        <v>99</v>
      </c>
      <c r="Y1" s="2" t="s">
        <v>109</v>
      </c>
      <c r="AA1" s="2" t="s">
        <v>116</v>
      </c>
      <c r="AC1" s="2" t="s">
        <v>124</v>
      </c>
      <c r="AE1" s="2" t="s">
        <v>127</v>
      </c>
      <c r="AG1" s="2" t="s">
        <v>154</v>
      </c>
      <c r="AI1" s="2" t="s">
        <v>137</v>
      </c>
      <c r="AK1" s="2" t="s">
        <v>150</v>
      </c>
    </row>
    <row r="2" spans="1:38" x14ac:dyDescent="0.25">
      <c r="A2" t="s">
        <v>1</v>
      </c>
      <c r="B2">
        <v>50</v>
      </c>
      <c r="C2" t="s">
        <v>15</v>
      </c>
      <c r="D2">
        <v>50</v>
      </c>
      <c r="E2" t="s">
        <v>28</v>
      </c>
      <c r="F2">
        <v>300</v>
      </c>
      <c r="G2" t="s">
        <v>30</v>
      </c>
      <c r="H2">
        <v>50</v>
      </c>
      <c r="I2" t="s">
        <v>162</v>
      </c>
      <c r="J2">
        <v>200</v>
      </c>
      <c r="K2" t="s">
        <v>40</v>
      </c>
      <c r="L2">
        <v>50</v>
      </c>
      <c r="M2" t="s">
        <v>45</v>
      </c>
      <c r="N2">
        <v>200</v>
      </c>
      <c r="O2" t="s">
        <v>79</v>
      </c>
      <c r="P2">
        <v>50</v>
      </c>
      <c r="Q2" t="s">
        <v>176</v>
      </c>
      <c r="R2">
        <v>300</v>
      </c>
      <c r="S2" t="s">
        <v>90</v>
      </c>
      <c r="T2">
        <v>1000</v>
      </c>
      <c r="U2" t="s">
        <v>94</v>
      </c>
      <c r="V2">
        <v>100</v>
      </c>
      <c r="W2" t="s">
        <v>100</v>
      </c>
      <c r="X2">
        <v>200</v>
      </c>
      <c r="Y2" t="s">
        <v>110</v>
      </c>
      <c r="Z2">
        <v>200</v>
      </c>
      <c r="AA2" t="s">
        <v>117</v>
      </c>
      <c r="AB2">
        <v>200</v>
      </c>
      <c r="AC2" t="s">
        <v>181</v>
      </c>
      <c r="AD2">
        <v>200</v>
      </c>
      <c r="AE2" t="s">
        <v>128</v>
      </c>
      <c r="AF2">
        <v>300</v>
      </c>
      <c r="AG2" t="s">
        <v>130</v>
      </c>
      <c r="AH2">
        <v>200</v>
      </c>
      <c r="AI2" t="s">
        <v>138</v>
      </c>
      <c r="AJ2">
        <v>200</v>
      </c>
      <c r="AK2" t="s">
        <v>151</v>
      </c>
      <c r="AL2">
        <v>500</v>
      </c>
    </row>
    <row r="3" spans="1:38" x14ac:dyDescent="0.25">
      <c r="A3" t="s">
        <v>155</v>
      </c>
      <c r="B3">
        <v>100</v>
      </c>
      <c r="C3" t="s">
        <v>16</v>
      </c>
      <c r="D3">
        <v>100</v>
      </c>
      <c r="E3" t="s">
        <v>20</v>
      </c>
      <c r="F3">
        <v>500</v>
      </c>
      <c r="G3" t="s">
        <v>161</v>
      </c>
      <c r="H3">
        <v>100</v>
      </c>
      <c r="I3" t="s">
        <v>163</v>
      </c>
      <c r="J3">
        <v>300</v>
      </c>
      <c r="K3" t="s">
        <v>41</v>
      </c>
      <c r="L3">
        <v>100</v>
      </c>
      <c r="M3" t="s">
        <v>46</v>
      </c>
      <c r="N3">
        <v>300</v>
      </c>
      <c r="O3" t="s">
        <v>80</v>
      </c>
      <c r="P3">
        <v>100</v>
      </c>
      <c r="Q3" t="s">
        <v>168</v>
      </c>
      <c r="R3">
        <v>500</v>
      </c>
      <c r="S3" t="s">
        <v>91</v>
      </c>
      <c r="T3">
        <v>1500</v>
      </c>
      <c r="U3" t="s">
        <v>95</v>
      </c>
      <c r="V3">
        <v>200</v>
      </c>
      <c r="W3" t="s">
        <v>101</v>
      </c>
      <c r="X3">
        <v>300</v>
      </c>
      <c r="Y3" t="s">
        <v>111</v>
      </c>
      <c r="Z3">
        <v>300</v>
      </c>
      <c r="AA3" t="s">
        <v>171</v>
      </c>
      <c r="AB3">
        <v>300</v>
      </c>
      <c r="AC3" t="s">
        <v>182</v>
      </c>
      <c r="AD3">
        <v>300</v>
      </c>
      <c r="AE3" t="s">
        <v>129</v>
      </c>
      <c r="AF3">
        <v>500</v>
      </c>
      <c r="AG3" t="s">
        <v>131</v>
      </c>
      <c r="AH3">
        <v>200</v>
      </c>
      <c r="AI3" t="s">
        <v>139</v>
      </c>
      <c r="AJ3">
        <v>500</v>
      </c>
      <c r="AK3" t="s">
        <v>152</v>
      </c>
      <c r="AL3">
        <v>300</v>
      </c>
    </row>
    <row r="4" spans="1:38" x14ac:dyDescent="0.25">
      <c r="A4" t="s">
        <v>2</v>
      </c>
      <c r="B4">
        <v>200</v>
      </c>
      <c r="C4" t="s">
        <v>17</v>
      </c>
      <c r="D4">
        <v>100</v>
      </c>
      <c r="E4" t="s">
        <v>21</v>
      </c>
      <c r="F4">
        <v>750</v>
      </c>
      <c r="G4" t="s">
        <v>160</v>
      </c>
      <c r="H4">
        <v>200</v>
      </c>
      <c r="I4" t="s">
        <v>38</v>
      </c>
      <c r="J4">
        <v>500</v>
      </c>
      <c r="K4" t="s">
        <v>42</v>
      </c>
      <c r="L4">
        <v>200</v>
      </c>
      <c r="M4" t="s">
        <v>173</v>
      </c>
      <c r="N4">
        <v>300</v>
      </c>
      <c r="O4" t="s">
        <v>81</v>
      </c>
      <c r="P4">
        <v>200</v>
      </c>
      <c r="Q4" t="s">
        <v>169</v>
      </c>
      <c r="R4">
        <v>1000</v>
      </c>
      <c r="S4" t="s">
        <v>92</v>
      </c>
      <c r="T4">
        <v>1500</v>
      </c>
      <c r="U4" t="s">
        <v>177</v>
      </c>
      <c r="V4">
        <v>300</v>
      </c>
      <c r="W4" t="s">
        <v>102</v>
      </c>
      <c r="X4">
        <v>300</v>
      </c>
      <c r="Y4" t="s">
        <v>170</v>
      </c>
      <c r="Z4">
        <v>500</v>
      </c>
      <c r="AA4" t="s">
        <v>118</v>
      </c>
      <c r="AB4">
        <v>300</v>
      </c>
      <c r="AC4" t="s">
        <v>183</v>
      </c>
      <c r="AD4">
        <v>300</v>
      </c>
      <c r="AG4" t="s">
        <v>132</v>
      </c>
      <c r="AH4">
        <v>300</v>
      </c>
      <c r="AI4" t="s">
        <v>140</v>
      </c>
      <c r="AJ4">
        <v>200</v>
      </c>
      <c r="AK4" t="s">
        <v>153</v>
      </c>
      <c r="AL4">
        <v>300</v>
      </c>
    </row>
    <row r="5" spans="1:38" x14ac:dyDescent="0.25">
      <c r="A5" t="s">
        <v>3</v>
      </c>
      <c r="B5">
        <v>20</v>
      </c>
      <c r="C5" t="s">
        <v>18</v>
      </c>
      <c r="D5">
        <v>100</v>
      </c>
      <c r="E5" t="s">
        <v>22</v>
      </c>
      <c r="F5">
        <v>1000</v>
      </c>
      <c r="G5" t="s">
        <v>31</v>
      </c>
      <c r="H5">
        <v>300</v>
      </c>
      <c r="I5" t="s">
        <v>36</v>
      </c>
      <c r="J5">
        <v>500</v>
      </c>
      <c r="K5" t="s">
        <v>31</v>
      </c>
      <c r="L5">
        <v>300</v>
      </c>
      <c r="M5" t="s">
        <v>165</v>
      </c>
      <c r="N5">
        <v>300</v>
      </c>
      <c r="O5" t="s">
        <v>82</v>
      </c>
      <c r="P5">
        <v>100</v>
      </c>
      <c r="Q5" t="s">
        <v>88</v>
      </c>
      <c r="R5">
        <v>1500</v>
      </c>
      <c r="U5" t="s">
        <v>179</v>
      </c>
      <c r="V5">
        <v>500</v>
      </c>
      <c r="W5" t="s">
        <v>103</v>
      </c>
      <c r="X5">
        <v>500</v>
      </c>
      <c r="Y5" t="s">
        <v>112</v>
      </c>
      <c r="Z5">
        <v>750</v>
      </c>
      <c r="AA5" t="s">
        <v>180</v>
      </c>
      <c r="AB5">
        <v>500</v>
      </c>
      <c r="AC5" t="s">
        <v>125</v>
      </c>
      <c r="AD5">
        <v>300</v>
      </c>
      <c r="AG5" t="s">
        <v>133</v>
      </c>
      <c r="AH5">
        <v>300</v>
      </c>
      <c r="AI5" t="s">
        <v>141</v>
      </c>
      <c r="AJ5">
        <v>300</v>
      </c>
    </row>
    <row r="6" spans="1:38" x14ac:dyDescent="0.25">
      <c r="A6" t="s">
        <v>4</v>
      </c>
      <c r="B6">
        <v>200</v>
      </c>
      <c r="C6" t="s">
        <v>159</v>
      </c>
      <c r="D6">
        <v>100</v>
      </c>
      <c r="E6" t="s">
        <v>23</v>
      </c>
      <c r="F6">
        <v>750</v>
      </c>
      <c r="G6" t="s">
        <v>32</v>
      </c>
      <c r="H6">
        <v>300</v>
      </c>
      <c r="I6" t="s">
        <v>172</v>
      </c>
      <c r="J6">
        <v>750</v>
      </c>
      <c r="K6" t="s">
        <v>164</v>
      </c>
      <c r="L6">
        <v>300</v>
      </c>
      <c r="M6" t="s">
        <v>166</v>
      </c>
      <c r="N6">
        <v>500</v>
      </c>
      <c r="O6" t="s">
        <v>83</v>
      </c>
      <c r="P6">
        <v>50</v>
      </c>
      <c r="U6" t="s">
        <v>96</v>
      </c>
      <c r="V6">
        <v>500</v>
      </c>
      <c r="W6" t="s">
        <v>104</v>
      </c>
      <c r="X6">
        <v>1000</v>
      </c>
      <c r="Y6" t="s">
        <v>113</v>
      </c>
      <c r="Z6">
        <v>750</v>
      </c>
      <c r="AA6" t="s">
        <v>119</v>
      </c>
      <c r="AB6">
        <v>750</v>
      </c>
      <c r="AC6" t="s">
        <v>184</v>
      </c>
      <c r="AD6">
        <v>500</v>
      </c>
      <c r="AG6" t="s">
        <v>134</v>
      </c>
      <c r="AH6">
        <v>500</v>
      </c>
      <c r="AI6" t="s">
        <v>142</v>
      </c>
      <c r="AJ6">
        <v>300</v>
      </c>
    </row>
    <row r="7" spans="1:38" x14ac:dyDescent="0.25">
      <c r="A7" t="s">
        <v>5</v>
      </c>
      <c r="B7">
        <v>200</v>
      </c>
      <c r="E7" t="s">
        <v>24</v>
      </c>
      <c r="F7">
        <v>300</v>
      </c>
      <c r="G7" t="s">
        <v>33</v>
      </c>
      <c r="H7">
        <v>500</v>
      </c>
      <c r="I7" t="s">
        <v>37</v>
      </c>
      <c r="J7">
        <v>1000</v>
      </c>
      <c r="K7" t="s">
        <v>43</v>
      </c>
      <c r="L7">
        <v>500</v>
      </c>
      <c r="M7" t="s">
        <v>47</v>
      </c>
      <c r="N7">
        <v>300</v>
      </c>
      <c r="O7" t="s">
        <v>84</v>
      </c>
      <c r="P7">
        <v>100</v>
      </c>
      <c r="U7" t="s">
        <v>178</v>
      </c>
      <c r="V7">
        <v>500</v>
      </c>
      <c r="W7" t="s">
        <v>105</v>
      </c>
      <c r="X7">
        <v>1500</v>
      </c>
      <c r="Y7" t="s">
        <v>114</v>
      </c>
      <c r="Z7">
        <v>1000</v>
      </c>
      <c r="AA7" t="s">
        <v>120</v>
      </c>
      <c r="AB7">
        <v>750</v>
      </c>
      <c r="AC7" t="s">
        <v>185</v>
      </c>
      <c r="AD7">
        <v>500</v>
      </c>
      <c r="AG7" t="s">
        <v>135</v>
      </c>
      <c r="AH7">
        <v>500</v>
      </c>
      <c r="AI7" t="s">
        <v>143</v>
      </c>
      <c r="AJ7">
        <v>300</v>
      </c>
    </row>
    <row r="8" spans="1:38" x14ac:dyDescent="0.25">
      <c r="A8" t="s">
        <v>6</v>
      </c>
      <c r="B8">
        <v>200</v>
      </c>
      <c r="E8" t="s">
        <v>25</v>
      </c>
      <c r="F8">
        <v>100</v>
      </c>
      <c r="G8" t="s">
        <v>34</v>
      </c>
      <c r="H8">
        <v>1000</v>
      </c>
      <c r="M8" t="s">
        <v>48</v>
      </c>
      <c r="N8">
        <v>750</v>
      </c>
      <c r="O8" t="s">
        <v>85</v>
      </c>
      <c r="P8">
        <v>300</v>
      </c>
      <c r="U8" t="s">
        <v>97</v>
      </c>
      <c r="V8">
        <v>500</v>
      </c>
      <c r="W8" t="s">
        <v>106</v>
      </c>
      <c r="X8">
        <v>2000</v>
      </c>
      <c r="Y8" t="s">
        <v>115</v>
      </c>
      <c r="Z8">
        <v>1500</v>
      </c>
      <c r="AA8" t="s">
        <v>121</v>
      </c>
      <c r="AB8">
        <v>1000</v>
      </c>
      <c r="AC8" t="s">
        <v>126</v>
      </c>
      <c r="AD8">
        <v>1000</v>
      </c>
      <c r="AG8" t="s">
        <v>136</v>
      </c>
      <c r="AH8">
        <v>500</v>
      </c>
      <c r="AI8" t="s">
        <v>144</v>
      </c>
      <c r="AJ8">
        <v>300</v>
      </c>
    </row>
    <row r="9" spans="1:38" x14ac:dyDescent="0.25">
      <c r="A9" t="s">
        <v>7</v>
      </c>
      <c r="B9">
        <v>100</v>
      </c>
      <c r="E9" t="s">
        <v>26</v>
      </c>
      <c r="F9">
        <v>200</v>
      </c>
      <c r="M9" t="s">
        <v>49</v>
      </c>
      <c r="N9">
        <v>200</v>
      </c>
      <c r="O9" t="s">
        <v>86</v>
      </c>
      <c r="P9">
        <v>500</v>
      </c>
      <c r="U9" t="s">
        <v>98</v>
      </c>
      <c r="V9">
        <v>750</v>
      </c>
      <c r="W9" t="s">
        <v>107</v>
      </c>
      <c r="X9">
        <v>500</v>
      </c>
      <c r="Y9" t="s">
        <v>34</v>
      </c>
      <c r="Z9">
        <v>1000</v>
      </c>
      <c r="AA9" t="s">
        <v>122</v>
      </c>
      <c r="AB9">
        <v>1500</v>
      </c>
      <c r="AI9" t="s">
        <v>145</v>
      </c>
      <c r="AJ9">
        <v>300</v>
      </c>
    </row>
    <row r="10" spans="1:38" x14ac:dyDescent="0.25">
      <c r="A10" t="s">
        <v>8</v>
      </c>
      <c r="B10">
        <v>300</v>
      </c>
      <c r="E10" t="s">
        <v>27</v>
      </c>
      <c r="F10">
        <v>500</v>
      </c>
      <c r="M10" t="s">
        <v>50</v>
      </c>
      <c r="N10">
        <v>300</v>
      </c>
      <c r="W10" t="s">
        <v>108</v>
      </c>
      <c r="X10">
        <v>800</v>
      </c>
      <c r="AA10" t="s">
        <v>123</v>
      </c>
      <c r="AB10">
        <v>1000</v>
      </c>
      <c r="AI10" t="s">
        <v>146</v>
      </c>
      <c r="AJ10">
        <v>300</v>
      </c>
    </row>
    <row r="11" spans="1:38" x14ac:dyDescent="0.25">
      <c r="A11" t="s">
        <v>9</v>
      </c>
      <c r="B11">
        <v>100</v>
      </c>
      <c r="M11" t="s">
        <v>51</v>
      </c>
      <c r="N11">
        <v>300</v>
      </c>
      <c r="AI11" t="s">
        <v>147</v>
      </c>
      <c r="AJ11">
        <v>1000</v>
      </c>
    </row>
    <row r="12" spans="1:38" x14ac:dyDescent="0.25">
      <c r="A12" t="s">
        <v>10</v>
      </c>
      <c r="B12">
        <v>100</v>
      </c>
      <c r="M12" t="s">
        <v>52</v>
      </c>
      <c r="N12">
        <v>500</v>
      </c>
      <c r="AI12" t="s">
        <v>148</v>
      </c>
      <c r="AJ12">
        <v>500</v>
      </c>
    </row>
    <row r="13" spans="1:38" x14ac:dyDescent="0.25">
      <c r="A13" t="s">
        <v>11</v>
      </c>
      <c r="B13">
        <v>100</v>
      </c>
      <c r="M13" t="s">
        <v>53</v>
      </c>
      <c r="N13">
        <v>200</v>
      </c>
      <c r="AI13" t="s">
        <v>149</v>
      </c>
      <c r="AJ13">
        <v>750</v>
      </c>
    </row>
    <row r="14" spans="1:38" x14ac:dyDescent="0.25">
      <c r="A14" t="s">
        <v>156</v>
      </c>
      <c r="B14">
        <v>500</v>
      </c>
      <c r="M14" t="s">
        <v>54</v>
      </c>
      <c r="N14">
        <v>300</v>
      </c>
    </row>
    <row r="15" spans="1:38" x14ac:dyDescent="0.25">
      <c r="A15" t="s">
        <v>12</v>
      </c>
      <c r="B15">
        <v>100</v>
      </c>
      <c r="M15" t="s">
        <v>55</v>
      </c>
      <c r="N15">
        <v>500</v>
      </c>
    </row>
    <row r="16" spans="1:38" x14ac:dyDescent="0.25">
      <c r="A16" t="s">
        <v>157</v>
      </c>
      <c r="B16">
        <v>100</v>
      </c>
      <c r="M16" t="s">
        <v>56</v>
      </c>
      <c r="N16">
        <v>200</v>
      </c>
    </row>
    <row r="17" spans="1:14" x14ac:dyDescent="0.25">
      <c r="A17" t="s">
        <v>158</v>
      </c>
      <c r="B17">
        <v>500</v>
      </c>
      <c r="M17" t="s">
        <v>174</v>
      </c>
      <c r="N17">
        <v>50</v>
      </c>
    </row>
    <row r="18" spans="1:14" x14ac:dyDescent="0.25">
      <c r="A18" t="s">
        <v>13</v>
      </c>
      <c r="B18">
        <v>300</v>
      </c>
      <c r="M18" t="s">
        <v>57</v>
      </c>
      <c r="N18">
        <v>100</v>
      </c>
    </row>
    <row r="19" spans="1:14" x14ac:dyDescent="0.25">
      <c r="M19" t="s">
        <v>58</v>
      </c>
      <c r="N19">
        <v>200</v>
      </c>
    </row>
    <row r="20" spans="1:14" x14ac:dyDescent="0.25">
      <c r="M20" t="s">
        <v>59</v>
      </c>
      <c r="N20">
        <v>300</v>
      </c>
    </row>
    <row r="21" spans="1:14" x14ac:dyDescent="0.25">
      <c r="M21" t="s">
        <v>175</v>
      </c>
      <c r="N21">
        <v>200</v>
      </c>
    </row>
    <row r="22" spans="1:14" x14ac:dyDescent="0.25">
      <c r="M22" t="s">
        <v>60</v>
      </c>
      <c r="N22">
        <v>300</v>
      </c>
    </row>
    <row r="23" spans="1:14" x14ac:dyDescent="0.25">
      <c r="M23" t="s">
        <v>61</v>
      </c>
      <c r="N23">
        <v>200</v>
      </c>
    </row>
    <row r="24" spans="1:14" x14ac:dyDescent="0.25">
      <c r="M24" t="s">
        <v>62</v>
      </c>
      <c r="N24">
        <v>200</v>
      </c>
    </row>
    <row r="25" spans="1:14" x14ac:dyDescent="0.25">
      <c r="M25" t="s">
        <v>63</v>
      </c>
      <c r="N25">
        <v>300</v>
      </c>
    </row>
    <row r="26" spans="1:14" x14ac:dyDescent="0.25">
      <c r="M26" t="s">
        <v>64</v>
      </c>
      <c r="N26">
        <v>300</v>
      </c>
    </row>
    <row r="27" spans="1:14" x14ac:dyDescent="0.25">
      <c r="M27" t="s">
        <v>65</v>
      </c>
      <c r="N27">
        <v>500</v>
      </c>
    </row>
    <row r="28" spans="1:14" x14ac:dyDescent="0.25">
      <c r="M28" t="s">
        <v>66</v>
      </c>
      <c r="N28">
        <v>300</v>
      </c>
    </row>
    <row r="29" spans="1:14" x14ac:dyDescent="0.25">
      <c r="M29" t="s">
        <v>67</v>
      </c>
      <c r="N29">
        <v>300</v>
      </c>
    </row>
    <row r="30" spans="1:14" x14ac:dyDescent="0.25">
      <c r="M30" t="s">
        <v>68</v>
      </c>
      <c r="N30">
        <v>500</v>
      </c>
    </row>
    <row r="31" spans="1:14" x14ac:dyDescent="0.25">
      <c r="M31" t="s">
        <v>69</v>
      </c>
      <c r="N31">
        <v>750</v>
      </c>
    </row>
    <row r="32" spans="1:14" x14ac:dyDescent="0.25">
      <c r="M32" t="s">
        <v>167</v>
      </c>
      <c r="N32">
        <v>1000</v>
      </c>
    </row>
    <row r="33" spans="13:14" x14ac:dyDescent="0.25">
      <c r="M33" t="s">
        <v>70</v>
      </c>
      <c r="N33">
        <v>500</v>
      </c>
    </row>
    <row r="34" spans="13:14" x14ac:dyDescent="0.25">
      <c r="M34" t="s">
        <v>71</v>
      </c>
      <c r="N34">
        <v>500</v>
      </c>
    </row>
    <row r="35" spans="13:14" x14ac:dyDescent="0.25">
      <c r="M35" t="s">
        <v>72</v>
      </c>
      <c r="N35">
        <v>1000</v>
      </c>
    </row>
    <row r="36" spans="13:14" x14ac:dyDescent="0.25">
      <c r="M36" t="s">
        <v>73</v>
      </c>
      <c r="N36">
        <v>750</v>
      </c>
    </row>
    <row r="37" spans="13:14" x14ac:dyDescent="0.25">
      <c r="M37" t="s">
        <v>74</v>
      </c>
      <c r="N37">
        <v>1000</v>
      </c>
    </row>
    <row r="38" spans="13:14" x14ac:dyDescent="0.25">
      <c r="M38" t="s">
        <v>75</v>
      </c>
      <c r="N38">
        <v>500</v>
      </c>
    </row>
    <row r="39" spans="13:14" x14ac:dyDescent="0.25">
      <c r="M39" t="s">
        <v>76</v>
      </c>
      <c r="N39">
        <v>500</v>
      </c>
    </row>
    <row r="40" spans="13:14" x14ac:dyDescent="0.25">
      <c r="M40" t="s">
        <v>77</v>
      </c>
      <c r="N40">
        <v>750</v>
      </c>
    </row>
  </sheetData>
  <sortState ref="A2:S40">
    <sortCondition ref="A1"/>
  </sortState>
  <pageMargins left="0.7" right="0.7" top="0.78740157499999996" bottom="0.78740157499999996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Q56"/>
  <sheetViews>
    <sheetView workbookViewId="0">
      <selection activeCell="H21" sqref="H21"/>
    </sheetView>
  </sheetViews>
  <sheetFormatPr baseColWidth="10" defaultColWidth="9.85546875" defaultRowHeight="15" x14ac:dyDescent="0.25"/>
  <cols>
    <col min="1" max="1" width="11.42578125" style="4" customWidth="1"/>
    <col min="2" max="2" width="12.140625" style="4" customWidth="1"/>
    <col min="3" max="3" width="8.28515625" style="4" bestFit="1" customWidth="1"/>
    <col min="4" max="4" width="11.42578125" style="4" customWidth="1"/>
    <col min="5" max="5" width="8.28515625" style="4" bestFit="1" customWidth="1"/>
    <col min="6" max="6" width="11.140625" style="4" customWidth="1"/>
    <col min="7" max="7" width="7.85546875" style="4" customWidth="1"/>
    <col min="8" max="8" width="11.42578125" style="4" customWidth="1"/>
    <col min="9" max="9" width="7.5703125" style="4" customWidth="1"/>
    <col min="10" max="10" width="10.85546875" style="4" customWidth="1"/>
    <col min="11" max="11" width="7.85546875" style="4" customWidth="1"/>
    <col min="12" max="12" width="11.140625" style="4" customWidth="1"/>
    <col min="13" max="13" width="7.85546875" style="4" customWidth="1"/>
    <col min="14" max="14" width="12" style="4" customWidth="1"/>
    <col min="15" max="16384" width="9.85546875" style="4"/>
  </cols>
  <sheetData>
    <row r="1" spans="1:17" ht="30" x14ac:dyDescent="0.25">
      <c r="A1" s="47" t="s">
        <v>212</v>
      </c>
      <c r="B1" s="47" t="s">
        <v>211</v>
      </c>
      <c r="C1" s="47" t="s">
        <v>213</v>
      </c>
      <c r="D1" s="47" t="s">
        <v>211</v>
      </c>
      <c r="E1" s="47" t="s">
        <v>214</v>
      </c>
      <c r="F1" s="47" t="s">
        <v>211</v>
      </c>
      <c r="G1" s="47" t="s">
        <v>215</v>
      </c>
      <c r="H1" s="47" t="s">
        <v>211</v>
      </c>
      <c r="I1" s="47" t="s">
        <v>216</v>
      </c>
      <c r="J1" s="47" t="s">
        <v>211</v>
      </c>
      <c r="K1" s="47" t="s">
        <v>217</v>
      </c>
      <c r="L1" s="47" t="s">
        <v>211</v>
      </c>
      <c r="M1" s="47" t="s">
        <v>218</v>
      </c>
      <c r="N1" s="47" t="s">
        <v>211</v>
      </c>
      <c r="O1" s="3"/>
      <c r="P1" s="3"/>
      <c r="Q1" s="3"/>
    </row>
    <row r="2" spans="1:17" x14ac:dyDescent="0.25">
      <c r="A2" s="48">
        <v>15</v>
      </c>
      <c r="B2" s="48">
        <v>100</v>
      </c>
      <c r="C2" s="48">
        <v>10</v>
      </c>
      <c r="D2" s="48">
        <v>100</v>
      </c>
      <c r="E2" s="48">
        <v>25</v>
      </c>
      <c r="F2" s="48">
        <v>300</v>
      </c>
      <c r="G2" s="48">
        <v>3</v>
      </c>
      <c r="H2" s="48">
        <v>100</v>
      </c>
      <c r="I2" s="48">
        <v>15</v>
      </c>
      <c r="J2" s="48">
        <v>900</v>
      </c>
      <c r="K2" s="48">
        <v>6</v>
      </c>
      <c r="L2" s="48">
        <v>400</v>
      </c>
      <c r="M2" s="48">
        <v>2</v>
      </c>
      <c r="N2" s="48">
        <v>100</v>
      </c>
    </row>
    <row r="3" spans="1:17" x14ac:dyDescent="0.25">
      <c r="A3" s="48">
        <v>25</v>
      </c>
      <c r="B3" s="48">
        <v>200</v>
      </c>
      <c r="C3" s="48">
        <v>20</v>
      </c>
      <c r="D3" s="48">
        <v>300</v>
      </c>
      <c r="E3" s="48">
        <v>40</v>
      </c>
      <c r="F3" s="48">
        <v>500</v>
      </c>
      <c r="G3" s="48">
        <v>5</v>
      </c>
      <c r="H3" s="48">
        <v>200</v>
      </c>
      <c r="I3" s="48">
        <v>16</v>
      </c>
      <c r="J3" s="48">
        <v>1200</v>
      </c>
      <c r="K3" s="48">
        <v>8</v>
      </c>
      <c r="L3" s="48">
        <v>500</v>
      </c>
      <c r="M3" s="48">
        <v>3.7</v>
      </c>
      <c r="N3" s="48">
        <v>200</v>
      </c>
    </row>
    <row r="4" spans="1:17" x14ac:dyDescent="0.25">
      <c r="A4" s="48">
        <v>40</v>
      </c>
      <c r="B4" s="48">
        <v>400</v>
      </c>
      <c r="C4" s="48">
        <v>35</v>
      </c>
      <c r="D4" s="48">
        <v>600</v>
      </c>
      <c r="E4" s="48">
        <v>60</v>
      </c>
      <c r="F4" s="48">
        <v>800</v>
      </c>
      <c r="G4" s="48">
        <v>7</v>
      </c>
      <c r="H4" s="48">
        <v>400</v>
      </c>
      <c r="I4" s="48">
        <v>18</v>
      </c>
      <c r="J4" s="48">
        <v>1400</v>
      </c>
      <c r="K4" s="48">
        <v>13</v>
      </c>
      <c r="L4" s="48">
        <v>900</v>
      </c>
      <c r="M4" s="48">
        <v>6.5</v>
      </c>
      <c r="N4" s="48">
        <v>300</v>
      </c>
    </row>
    <row r="5" spans="1:17" x14ac:dyDescent="0.25">
      <c r="A5" s="48">
        <v>60</v>
      </c>
      <c r="B5" s="48">
        <v>700</v>
      </c>
      <c r="C5" s="48">
        <v>50</v>
      </c>
      <c r="D5" s="48">
        <v>800</v>
      </c>
      <c r="E5" s="48">
        <v>100</v>
      </c>
      <c r="F5" s="48">
        <v>1500</v>
      </c>
      <c r="G5" s="48">
        <v>11</v>
      </c>
      <c r="H5" s="48">
        <v>600</v>
      </c>
      <c r="I5" s="48">
        <v>30</v>
      </c>
      <c r="J5" s="48">
        <v>2500</v>
      </c>
      <c r="K5" s="48">
        <v>14</v>
      </c>
      <c r="L5" s="48">
        <v>1200</v>
      </c>
      <c r="M5" s="48">
        <v>8</v>
      </c>
      <c r="N5" s="48">
        <v>400</v>
      </c>
    </row>
    <row r="6" spans="1:17" x14ac:dyDescent="0.25">
      <c r="A6" s="48">
        <v>75</v>
      </c>
      <c r="B6" s="48">
        <v>900</v>
      </c>
      <c r="C6" s="48">
        <v>75</v>
      </c>
      <c r="D6" s="48">
        <v>1400</v>
      </c>
      <c r="E6" s="48">
        <v>150</v>
      </c>
      <c r="F6" s="48">
        <v>2500</v>
      </c>
      <c r="G6" s="48">
        <v>15</v>
      </c>
      <c r="H6" s="48">
        <v>900</v>
      </c>
      <c r="I6" s="48">
        <v>36</v>
      </c>
      <c r="J6" s="48">
        <v>3000</v>
      </c>
      <c r="K6" s="48">
        <v>28</v>
      </c>
      <c r="L6" s="48">
        <v>2500</v>
      </c>
      <c r="M6" s="48">
        <v>9</v>
      </c>
      <c r="N6" s="48">
        <v>600</v>
      </c>
    </row>
    <row r="7" spans="1:17" x14ac:dyDescent="0.25">
      <c r="A7" s="48">
        <v>100</v>
      </c>
      <c r="B7" s="48">
        <v>1400</v>
      </c>
      <c r="C7" s="48">
        <v>100</v>
      </c>
      <c r="D7" s="48">
        <v>2000</v>
      </c>
      <c r="E7" s="48">
        <v>300</v>
      </c>
      <c r="F7" s="48">
        <v>5000</v>
      </c>
      <c r="G7" s="48">
        <v>20</v>
      </c>
      <c r="H7" s="48">
        <v>1200</v>
      </c>
      <c r="I7" s="48">
        <v>58</v>
      </c>
      <c r="J7" s="48">
        <v>5000</v>
      </c>
      <c r="K7" s="48">
        <v>35</v>
      </c>
      <c r="L7" s="48">
        <v>3000</v>
      </c>
      <c r="M7" s="48">
        <v>12</v>
      </c>
      <c r="N7" s="48">
        <v>800</v>
      </c>
    </row>
    <row r="8" spans="1:17" x14ac:dyDescent="0.25">
      <c r="A8" s="48">
        <v>150</v>
      </c>
      <c r="B8" s="48">
        <v>2000</v>
      </c>
      <c r="C8" s="48"/>
      <c r="D8" s="48"/>
      <c r="E8" s="48">
        <v>500</v>
      </c>
      <c r="F8" s="48">
        <v>10000</v>
      </c>
      <c r="G8" s="48">
        <v>23</v>
      </c>
      <c r="H8" s="48">
        <v>1500</v>
      </c>
      <c r="I8" s="48"/>
      <c r="J8" s="48"/>
      <c r="K8" s="48">
        <v>54</v>
      </c>
      <c r="L8" s="48">
        <v>5000</v>
      </c>
      <c r="M8" s="48">
        <v>17</v>
      </c>
      <c r="N8" s="48">
        <v>1000</v>
      </c>
    </row>
    <row r="9" spans="1:17" x14ac:dyDescent="0.25">
      <c r="A9" s="48">
        <v>200</v>
      </c>
      <c r="B9" s="48">
        <v>3000</v>
      </c>
      <c r="C9" s="48"/>
      <c r="D9" s="48"/>
      <c r="E9" s="48">
        <v>1000</v>
      </c>
      <c r="F9" s="48">
        <v>20000</v>
      </c>
      <c r="G9" s="48"/>
      <c r="H9" s="48"/>
      <c r="I9" s="48"/>
      <c r="J9" s="48"/>
      <c r="K9" s="48"/>
      <c r="L9" s="48"/>
      <c r="M9" s="48"/>
      <c r="N9" s="48"/>
    </row>
    <row r="10" spans="1:17" x14ac:dyDescent="0.25">
      <c r="A10" s="49"/>
      <c r="B10" s="49"/>
      <c r="C10" s="49"/>
      <c r="D10" s="49"/>
      <c r="E10" s="49">
        <v>2000</v>
      </c>
      <c r="F10" s="49">
        <v>40000</v>
      </c>
      <c r="G10" s="49"/>
      <c r="H10" s="49"/>
      <c r="I10" s="49"/>
      <c r="J10" s="49"/>
      <c r="K10" s="49"/>
      <c r="L10" s="49"/>
      <c r="M10" s="49"/>
      <c r="N10" s="49"/>
    </row>
    <row r="11" spans="1:17" x14ac:dyDescent="0.25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</row>
    <row r="12" spans="1:17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</row>
    <row r="13" spans="1:17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</row>
    <row r="14" spans="1:17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</row>
    <row r="15" spans="1:17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</row>
    <row r="16" spans="1:17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3"/>
      <c r="P16" s="3"/>
      <c r="Q16" s="3"/>
    </row>
    <row r="17" spans="1:17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</row>
    <row r="18" spans="1:17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3"/>
      <c r="P18" s="3"/>
      <c r="Q18" s="3"/>
    </row>
    <row r="19" spans="1:17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3"/>
      <c r="P19" s="3"/>
      <c r="Q19" s="3"/>
    </row>
    <row r="20" spans="1:17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3"/>
      <c r="P20" s="3"/>
      <c r="Q20" s="3"/>
    </row>
    <row r="21" spans="1:17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3"/>
      <c r="P21" s="3"/>
      <c r="Q21" s="3"/>
    </row>
    <row r="22" spans="1:17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3"/>
      <c r="P22" s="3"/>
      <c r="Q22" s="3"/>
    </row>
    <row r="23" spans="1:17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1:17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7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17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17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P30" s="3"/>
    </row>
    <row r="31" spans="1:17" x14ac:dyDescent="0.25">
      <c r="M31" s="3"/>
      <c r="N31" s="3"/>
      <c r="O31" s="3"/>
      <c r="P31" s="3"/>
      <c r="Q31" s="3"/>
    </row>
    <row r="32" spans="1:17" x14ac:dyDescent="0.25">
      <c r="M32" s="3"/>
      <c r="N32" s="3"/>
      <c r="O32" s="3"/>
      <c r="P32" s="3"/>
      <c r="Q32" s="3"/>
    </row>
    <row r="33" spans="1:17" x14ac:dyDescent="0.25">
      <c r="M33" s="3"/>
      <c r="N33" s="3"/>
      <c r="O33" s="3"/>
      <c r="P33" s="3"/>
      <c r="Q33" s="3"/>
    </row>
    <row r="34" spans="1:17" x14ac:dyDescent="0.25">
      <c r="M34" s="3"/>
      <c r="N34" s="3"/>
      <c r="O34" s="3"/>
      <c r="P34" s="3"/>
      <c r="Q34" s="3"/>
    </row>
    <row r="35" spans="1:17" x14ac:dyDescent="0.25">
      <c r="A35" s="3"/>
      <c r="B35" s="3"/>
      <c r="C35" s="3"/>
      <c r="D35" s="3"/>
      <c r="E35" s="3"/>
      <c r="F35" s="3"/>
      <c r="G35" s="3"/>
      <c r="H35" s="3"/>
      <c r="M35" s="3"/>
      <c r="N35" s="3"/>
      <c r="O35" s="3"/>
      <c r="P35" s="3"/>
      <c r="Q35" s="3"/>
    </row>
    <row r="36" spans="1:17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M36" s="3"/>
      <c r="N36" s="3"/>
      <c r="O36" s="3"/>
      <c r="P36" s="3"/>
      <c r="Q36" s="3"/>
    </row>
    <row r="37" spans="1:17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M37" s="3"/>
      <c r="N37" s="3"/>
      <c r="O37" s="3"/>
      <c r="P37" s="3"/>
      <c r="Q37" s="3"/>
    </row>
    <row r="38" spans="1:17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</row>
    <row r="39" spans="1:17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</row>
    <row r="40" spans="1:17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</row>
    <row r="41" spans="1:17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</row>
    <row r="42" spans="1:17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</row>
    <row r="43" spans="1:17" x14ac:dyDescent="0.25">
      <c r="A43" s="3"/>
      <c r="B43" s="3"/>
      <c r="C43" s="3"/>
      <c r="D43" s="3"/>
      <c r="E43" s="3"/>
      <c r="F43" s="3"/>
      <c r="G43" s="3"/>
      <c r="H43" s="3"/>
    </row>
    <row r="44" spans="1:17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</row>
    <row r="45" spans="1:17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</row>
    <row r="46" spans="1:17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</row>
    <row r="47" spans="1:17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</row>
    <row r="48" spans="1:17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</row>
    <row r="49" spans="1:10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</row>
    <row r="50" spans="1:10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</row>
    <row r="51" spans="1:10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</row>
    <row r="52" spans="1:10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</row>
    <row r="53" spans="1:10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</row>
    <row r="54" spans="1:10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</row>
    <row r="55" spans="1:10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</row>
    <row r="56" spans="1:10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</row>
  </sheetData>
  <pageMargins left="0.7" right="0.7" top="0.78740157499999996" bottom="0.78740157499999996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9"/>
  <sheetViews>
    <sheetView workbookViewId="0">
      <selection activeCell="A8" sqref="A8"/>
    </sheetView>
  </sheetViews>
  <sheetFormatPr baseColWidth="10" defaultRowHeight="15" x14ac:dyDescent="0.25"/>
  <cols>
    <col min="11" max="11" width="25.7109375" bestFit="1" customWidth="1"/>
    <col min="12" max="12" width="22.85546875" customWidth="1"/>
    <col min="13" max="13" width="25.5703125" customWidth="1"/>
  </cols>
  <sheetData>
    <row r="1" spans="1:12" x14ac:dyDescent="0.25">
      <c r="A1" s="5" t="s">
        <v>196</v>
      </c>
      <c r="B1" s="21">
        <v>0.8</v>
      </c>
      <c r="C1" s="18">
        <v>0.8</v>
      </c>
      <c r="D1" s="18">
        <v>0.8</v>
      </c>
      <c r="E1" s="23">
        <v>0.8</v>
      </c>
      <c r="F1" s="23">
        <v>0.5</v>
      </c>
      <c r="G1" s="23">
        <v>0.5</v>
      </c>
      <c r="H1" s="23">
        <v>0.5</v>
      </c>
      <c r="I1" s="23">
        <v>0.5</v>
      </c>
      <c r="J1" s="23">
        <v>0.3</v>
      </c>
    </row>
    <row r="2" spans="1:12" x14ac:dyDescent="0.25">
      <c r="A2" s="5" t="s">
        <v>192</v>
      </c>
      <c r="B2" s="22">
        <v>0.5</v>
      </c>
      <c r="C2" s="19">
        <v>0.5</v>
      </c>
      <c r="D2" s="19">
        <v>0.3</v>
      </c>
      <c r="E2" s="24">
        <v>0.3</v>
      </c>
      <c r="F2" s="24">
        <v>0.5</v>
      </c>
      <c r="G2" s="24">
        <v>0.5</v>
      </c>
      <c r="H2" s="24">
        <v>0.3</v>
      </c>
      <c r="I2" s="24">
        <v>0.3</v>
      </c>
      <c r="J2" s="24">
        <v>0.3</v>
      </c>
    </row>
    <row r="3" spans="1:12" ht="15.75" thickBot="1" x14ac:dyDescent="0.3">
      <c r="A3" s="5" t="s">
        <v>193</v>
      </c>
      <c r="B3" s="22">
        <v>0.3</v>
      </c>
      <c r="C3" s="19">
        <v>0.1</v>
      </c>
      <c r="D3" s="19">
        <v>0.3</v>
      </c>
      <c r="E3" s="24">
        <v>0.1</v>
      </c>
      <c r="F3" s="24">
        <v>0.3</v>
      </c>
      <c r="G3" s="24">
        <v>0.1</v>
      </c>
      <c r="H3" s="24">
        <v>0.3</v>
      </c>
      <c r="I3" s="24">
        <v>0.1</v>
      </c>
      <c r="J3" s="24">
        <v>0.1</v>
      </c>
      <c r="L3" s="1"/>
    </row>
    <row r="4" spans="1:12" x14ac:dyDescent="0.25">
      <c r="A4" s="32">
        <v>0.6</v>
      </c>
      <c r="B4" s="33">
        <v>0.61</v>
      </c>
      <c r="C4" s="34">
        <v>0.57999999999999996</v>
      </c>
      <c r="D4" s="34">
        <v>0.54</v>
      </c>
      <c r="E4" s="34">
        <v>0.52</v>
      </c>
      <c r="F4" s="34">
        <v>0.59</v>
      </c>
      <c r="G4" s="34">
        <v>0.56999999999999995</v>
      </c>
      <c r="H4" s="34">
        <v>0.53</v>
      </c>
      <c r="I4" s="34">
        <v>0.51</v>
      </c>
      <c r="J4" s="35">
        <v>0.51</v>
      </c>
    </row>
    <row r="5" spans="1:12" x14ac:dyDescent="0.25">
      <c r="A5" s="25">
        <v>1</v>
      </c>
      <c r="B5" s="27">
        <v>0.8</v>
      </c>
      <c r="C5" s="20">
        <v>0.75</v>
      </c>
      <c r="D5" s="20">
        <v>0.73</v>
      </c>
      <c r="E5" s="20">
        <v>0.69</v>
      </c>
      <c r="F5" s="20">
        <v>0.76</v>
      </c>
      <c r="G5" s="20">
        <v>0.73</v>
      </c>
      <c r="H5" s="20">
        <v>0.7</v>
      </c>
      <c r="I5" s="20">
        <v>0.68</v>
      </c>
      <c r="J5" s="28">
        <v>0.67</v>
      </c>
    </row>
    <row r="6" spans="1:12" x14ac:dyDescent="0.25">
      <c r="A6" s="36">
        <v>1.5</v>
      </c>
      <c r="B6" s="37">
        <v>0.95</v>
      </c>
      <c r="C6" s="38">
        <v>0.86</v>
      </c>
      <c r="D6" s="38">
        <v>0.88</v>
      </c>
      <c r="E6" s="38">
        <v>0.82</v>
      </c>
      <c r="F6" s="38">
        <v>0.9</v>
      </c>
      <c r="G6" s="38">
        <v>0.84</v>
      </c>
      <c r="H6" s="38">
        <v>0.84</v>
      </c>
      <c r="I6" s="38">
        <v>0.8</v>
      </c>
      <c r="J6" s="39">
        <v>0.79</v>
      </c>
    </row>
    <row r="7" spans="1:12" x14ac:dyDescent="0.25">
      <c r="A7" s="26">
        <v>2</v>
      </c>
      <c r="B7" s="27">
        <v>1.02</v>
      </c>
      <c r="C7" s="20">
        <v>0.91</v>
      </c>
      <c r="D7" s="20">
        <v>0.96</v>
      </c>
      <c r="E7" s="20">
        <v>0.87</v>
      </c>
      <c r="F7" s="20">
        <v>0.95</v>
      </c>
      <c r="G7" s="20">
        <v>0.89</v>
      </c>
      <c r="H7" s="20">
        <v>0.91</v>
      </c>
      <c r="I7" s="20">
        <v>0.86</v>
      </c>
      <c r="J7" s="28">
        <v>0.84</v>
      </c>
    </row>
    <row r="8" spans="1:12" x14ac:dyDescent="0.25">
      <c r="A8" s="36">
        <v>3</v>
      </c>
      <c r="B8" s="37">
        <v>1.1100000000000001</v>
      </c>
      <c r="C8" s="38">
        <v>0.97</v>
      </c>
      <c r="D8" s="38">
        <v>1.06</v>
      </c>
      <c r="E8" s="38">
        <v>0.95</v>
      </c>
      <c r="F8" s="38">
        <v>1.03</v>
      </c>
      <c r="G8" s="38">
        <v>0.95</v>
      </c>
      <c r="H8" s="38">
        <v>0.99</v>
      </c>
      <c r="I8" s="38">
        <v>0.92</v>
      </c>
      <c r="J8" s="39">
        <v>0.91</v>
      </c>
    </row>
    <row r="9" spans="1:12" ht="15.75" thickBot="1" x14ac:dyDescent="0.3">
      <c r="A9" s="26">
        <v>5</v>
      </c>
      <c r="B9" s="29">
        <v>1.19</v>
      </c>
      <c r="C9" s="30">
        <v>1.02</v>
      </c>
      <c r="D9" s="30">
        <v>1.1499999999999999</v>
      </c>
      <c r="E9" s="30">
        <v>1</v>
      </c>
      <c r="F9" s="30">
        <v>1.0900000000000001</v>
      </c>
      <c r="G9" s="30">
        <v>0.98</v>
      </c>
      <c r="H9" s="30">
        <v>1.06</v>
      </c>
      <c r="I9" s="30">
        <v>0.97</v>
      </c>
      <c r="J9" s="31">
        <v>0.96</v>
      </c>
    </row>
  </sheetData>
  <pageMargins left="0.7" right="0.7" top="0.78740157499999996" bottom="0.78740157499999996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Berechnung</vt:lpstr>
      <vt:lpstr>Arbeitsplatz</vt:lpstr>
      <vt:lpstr>Lampen</vt:lpstr>
      <vt:lpstr>Leuchten</vt:lpstr>
    </vt:vector>
  </TitlesOfParts>
  <Company>Privat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Glaciens</dc:creator>
  <cp:lastModifiedBy>Glaciens</cp:lastModifiedBy>
  <dcterms:created xsi:type="dcterms:W3CDTF">2014-11-24T18:34:29Z</dcterms:created>
  <dcterms:modified xsi:type="dcterms:W3CDTF">2015-01-15T11:41:05Z</dcterms:modified>
</cp:coreProperties>
</file>